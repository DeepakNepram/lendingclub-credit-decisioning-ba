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<sst xmlns="http://schemas.openxmlformats.org/spreadsheetml/2006/main" count="126" uniqueCount="107">
  <si>
    <t xml:space="preserve">UAT Test Cases — LendingClub Credit Decisioning &amp; Portfolio Insights</t>
  </si>
  <si>
    <t xml:space="preserve">Scenario hypothetical; data real (LendingClub 2007-2018). Expected values from 05-data/cleaning-report.txt (full data) and dashboard sample recomputation. Tester: Deepak Nepram (BA, simulating UAT with Head of Credit / Ops Manager).</t>
  </si>
  <si>
    <t xml:space="preserve">TC ID</t>
  </si>
  <si>
    <t xml:space="preserve">Requirement (FR)</t>
  </si>
  <si>
    <t xml:space="preserve">Story</t>
  </si>
  <si>
    <t xml:space="preserve">Test description</t>
  </si>
  <si>
    <t xml:space="preserve">Steps</t>
  </si>
  <si>
    <t xml:space="preserve">Expected result</t>
  </si>
  <si>
    <t xml:space="preserve">Tolerance / basis</t>
  </si>
  <si>
    <t xml:space="preserve">Actual result</t>
  </si>
  <si>
    <t xml:space="preserve">Status</t>
  </si>
  <si>
    <t xml:space="preserve">Evidence</t>
  </si>
  <si>
    <t xml:space="preserve">TC-01</t>
  </si>
  <si>
    <t xml:space="preserve">FR-003/FR-005</t>
  </si>
  <si>
    <t xml:space="preserve">US-03/US-04</t>
  </si>
  <si>
    <t xml:space="preserve">Pipeline row accounting reproduces exactly on re-run</t>
  </si>
  <si>
    <t xml:space="preserve">Run python 05-data/prepare_data.py; read printed validation block</t>
  </si>
  <si>
    <t xml:space="preserve">accepted rows in 2,260,701; dropped 33 (null loan_amnt footers); rows out 2,260,668; rejected 27,648,741</t>
  </si>
  <si>
    <t xml:space="preserve">Exact integers</t>
  </si>
  <si>
    <t xml:space="preserve">Pass</t>
  </si>
  <si>
    <t xml:space="preserve">cleaning-report.txt</t>
  </si>
  <si>
    <t xml:space="preserve">TC-02</t>
  </si>
  <si>
    <t xml:space="preserve">FR-004</t>
  </si>
  <si>
    <t xml:space="preserve">US-03</t>
  </si>
  <si>
    <t xml:space="preserve">Governed flag sums match governed definitions</t>
  </si>
  <si>
    <t xml:space="preserve">Read validation block flag sums</t>
  </si>
  <si>
    <t xml:space="preserve">charge_off_flag = 269,320; resolved_flag = 1,348,059; default_flag = 40</t>
  </si>
  <si>
    <t xml:space="preserve">TC-03</t>
  </si>
  <si>
    <t xml:space="preserve">FR-014</t>
  </si>
  <si>
    <t xml:space="preserve">US-11</t>
  </si>
  <si>
    <t xml:space="preserve">Tab 1 charge-off BAN shows governed resolved-basis rate</t>
  </si>
  <si>
    <t xml:space="preserve">Open dashboard Tab 1; read Charge-off Rate card</t>
  </si>
  <si>
    <t xml:space="preserve">19.9-20.0% (full-data 19.98%; sample recompute within tolerance)</t>
  </si>
  <si>
    <t xml:space="preserve">±0.1pp of 19.98%</t>
  </si>
  <si>
    <t xml:space="preserve">tab1 screenshot</t>
  </si>
  <si>
    <t xml:space="preserve">TC-04</t>
  </si>
  <si>
    <t xml:space="preserve">FR-015</t>
  </si>
  <si>
    <t xml:space="preserve">US-11/US-12</t>
  </si>
  <si>
    <t xml:space="preserve">Tab 1 approval-rate BAN uses full-data funnel</t>
  </si>
  <si>
    <t xml:space="preserve">Open Tab 1; read Approval Rate card</t>
  </si>
  <si>
    <t xml:space="preserve">7.6% (governed full-data 7.5584%)</t>
  </si>
  <si>
    <t xml:space="preserve">±0.1pp</t>
  </si>
  <si>
    <t xml:space="preserve">TC-05</t>
  </si>
  <si>
    <t xml:space="preserve">FR-016</t>
  </si>
  <si>
    <t xml:space="preserve">US-12</t>
  </si>
  <si>
    <t xml:space="preserve">Grade x term heatmap shows RULE-03 concentration</t>
  </si>
  <si>
    <t xml:space="preserve">Open Tab 3; locate E/F/G x 60-month cells</t>
  </si>
  <si>
    <t xml:space="preserve">Cells ~43-50%; full-data pooled E-G/60m = 44.2% vs 20.0% portfolio (2.2x)</t>
  </si>
  <si>
    <t xml:space="preserve">±2pp per cell (sample noise, n-driven)</t>
  </si>
  <si>
    <t xml:space="preserve">tab3 screenshot</t>
  </si>
  <si>
    <t xml:space="preserve">TC-06</t>
  </si>
  <si>
    <t xml:space="preserve">FR-017</t>
  </si>
  <si>
    <t xml:space="preserve">US-13</t>
  </si>
  <si>
    <t xml:space="preserve">DTI comparison validates RULE-02 with DTI not Risk_Score</t>
  </si>
  <si>
    <t xml:space="preserve">Open Tab 2 DTI chart; check populations and axis</t>
  </si>
  <si>
    <t xml:space="preserve">Accepted concentrated 10-25; rejected wider spread with heavy 60+ tail (3.1M); axis buckets 0-5...60+; Risk_Score not used (66.9% null)</t>
  </si>
  <si>
    <t xml:space="preserve">Visual + bucket counts match dti_comparison.csv</t>
  </si>
  <si>
    <t xml:space="preserve">tab2 screenshot</t>
  </si>
  <si>
    <t xml:space="preserve">TC-07</t>
  </si>
  <si>
    <t xml:space="preserve">FR-021 (CR-001)</t>
  </si>
  <si>
    <t xml:space="preserve">US-16/VEL-19</t>
  </si>
  <si>
    <t xml:space="preserve">State concentration map delivered per change request</t>
  </si>
  <si>
    <t xml:space="preserve">Open Tab 2 map; hover 2-3 states</t>
  </si>
  <si>
    <t xml:space="preserve">All states shaded by approval rate (range ~3.0-9.9%); tooltip shows funded volume; 51 rows in state_summary.csv</t>
  </si>
  <si>
    <t xml:space="preserve">Range from cleaning run; 51 states</t>
  </si>
  <si>
    <t xml:space="preserve">TC-08</t>
  </si>
  <si>
    <t xml:space="preserve">FR-019</t>
  </si>
  <si>
    <t xml:space="preserve">US-14</t>
  </si>
  <si>
    <t xml:space="preserve">Global filters drive all Tab 3 views in &lt;=3 clicks</t>
  </si>
  <si>
    <t xml:space="preserve">On Tab 3 set Grade=E,F,G and Term=60; observe all three views update</t>
  </si>
  <si>
    <t xml:space="preserve">Heatmap, vintage line, scatter all filter together; &lt;=3 clicks to any KPI slice</t>
  </si>
  <si>
    <t xml:space="preserve">Behavioral</t>
  </si>
  <si>
    <t xml:space="preserve">filter demo</t>
  </si>
  <si>
    <t xml:space="preserve">TC-09</t>
  </si>
  <si>
    <t xml:space="preserve">FR-018</t>
  </si>
  <si>
    <t xml:space="preserve">Public link opens logged-out with three tabs</t>
  </si>
  <si>
    <t xml:space="preserve">Open published URL in incognito window</t>
  </si>
  <si>
    <t xml:space="preserve">Workbook renders without sign-in; Executive Overview, Funnel &amp; Policy, Portfolio Risk tabs all visible</t>
  </si>
  <si>
    <t xml:space="preserve">incognito check</t>
  </si>
  <si>
    <t xml:space="preserve">TC-10</t>
  </si>
  <si>
    <t xml:space="preserve">FR-006</t>
  </si>
  <si>
    <t xml:space="preserve">US-05</t>
  </si>
  <si>
    <t xml:space="preserve">Data-quality report generated on every run</t>
  </si>
  <si>
    <t xml:space="preserve">Run pipeline; confirm 05-data/cleaning-report.txt regenerated with current timestamp figures</t>
  </si>
  <si>
    <t xml:space="preserve">Validation block written to file; matches printed output</t>
  </si>
  <si>
    <t xml:space="preserve">File exists + content parity</t>
  </si>
  <si>
    <t xml:space="preserve">TC-11</t>
  </si>
  <si>
    <t xml:space="preserve">FR-009</t>
  </si>
  <si>
    <t xml:space="preserve">US-08</t>
  </si>
  <si>
    <t xml:space="preserve">manual_review_flag share matches governed rule</t>
  </si>
  <si>
    <t xml:space="preserve">Read validation block manual review share</t>
  </si>
  <si>
    <t xml:space="preserve">6.77% of funded book flagged (dti&gt;40 OR grade E-G &amp; 60m)</t>
  </si>
  <si>
    <t xml:space="preserve">±0.05pp</t>
  </si>
  <si>
    <t xml:space="preserve">TC-12</t>
  </si>
  <si>
    <t xml:space="preserve">NFR-03</t>
  </si>
  <si>
    <t xml:space="preserve">US-06</t>
  </si>
  <si>
    <t xml:space="preserve">KPI dictionary and dashboard use identical definitions</t>
  </si>
  <si>
    <t xml:space="preserve">Compare kpi-dictionary.md formulas vs dashboard calculated fields</t>
  </si>
  <si>
    <t xml:space="preserve">Charge-off denominator = resolved loans only in both; approval rate = n_accepted/applications in both</t>
  </si>
  <si>
    <t xml:space="preserve">Definitional parity</t>
  </si>
  <si>
    <t xml:space="preserve">kpi-dictionary.md</t>
  </si>
  <si>
    <t xml:space="preserve">UAT Summary</t>
  </si>
  <si>
    <t xml:space="preserve">Total test cases</t>
  </si>
  <si>
    <t xml:space="preserve">Passed</t>
  </si>
  <si>
    <t xml:space="preserve">Failed</t>
  </si>
  <si>
    <t xml:space="preserve">Pass rate</t>
  </si>
  <si>
    <t xml:space="preserve">Every Must FR is covered by at least one passing test (BR-01..BR-11 traced in rtm.xlsx).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</si>
</sst>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/>
      <c r="I5" s="5" t="s">
        <v>19</v>
      </c>
      <c r="J5" s="4" t="s">
        <v>20</v>
      </c>
    </row>
    <row r="6" customFormat="false" ht="23.85" hidden="false" customHeight="fals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18</v>
      </c>
      <c r="H6" s="4"/>
      <c r="I6" s="5" t="s">
        <v>19</v>
      </c>
      <c r="J6" s="4" t="s">
        <v>20</v>
      </c>
    </row>
    <row r="7" customFormat="false" ht="23.8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/>
      <c r="I7" s="5" t="s">
        <v>19</v>
      </c>
      <c r="J7" s="4" t="s">
        <v>34</v>
      </c>
    </row>
    <row r="8" customFormat="false" ht="23.8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/>
      <c r="I8" s="5" t="s">
        <v>19</v>
      </c>
      <c r="J8" s="4" t="s">
        <v>34</v>
      </c>
    </row>
    <row r="9" customFormat="false" ht="23.85" hidden="false" customHeight="false" outlineLevel="0" collapsed="false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/>
      <c r="I9" s="5" t="s">
        <v>19</v>
      </c>
      <c r="J9" s="4" t="s">
        <v>49</v>
      </c>
    </row>
    <row r="10" customFormat="false" ht="35.05" hidden="false" customHeight="false" outlineLevel="0" collapsed="false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4"/>
      <c r="I10" s="5" t="s">
        <v>19</v>
      </c>
      <c r="J10" s="4" t="s">
        <v>57</v>
      </c>
    </row>
    <row r="11" customFormat="false" ht="35.05" hidden="false" customHeight="false" outlineLevel="0" collapsed="false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4"/>
      <c r="I11" s="5" t="s">
        <v>19</v>
      </c>
      <c r="J11" s="4" t="s">
        <v>57</v>
      </c>
    </row>
    <row r="12" customFormat="false" ht="23.85" hidden="false" customHeight="false" outlineLevel="0" collapsed="false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  <c r="H12" s="4"/>
      <c r="I12" s="5" t="s">
        <v>19</v>
      </c>
      <c r="J12" s="4" t="s">
        <v>72</v>
      </c>
    </row>
    <row r="13" customFormat="false" ht="35.05" hidden="false" customHeight="false" outlineLevel="0" collapsed="false">
      <c r="A13" s="4" t="s">
        <v>73</v>
      </c>
      <c r="B13" s="4" t="s">
        <v>74</v>
      </c>
      <c r="C13" s="4" t="s">
        <v>67</v>
      </c>
      <c r="D13" s="4" t="s">
        <v>75</v>
      </c>
      <c r="E13" s="4" t="s">
        <v>76</v>
      </c>
      <c r="F13" s="4" t="s">
        <v>77</v>
      </c>
      <c r="G13" s="4" t="s">
        <v>71</v>
      </c>
      <c r="H13" s="4"/>
      <c r="I13" s="5" t="s">
        <v>19</v>
      </c>
      <c r="J13" s="4" t="s">
        <v>78</v>
      </c>
    </row>
    <row r="14" customFormat="false" ht="35.05" hidden="false" customHeight="false" outlineLevel="0" collapsed="false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84</v>
      </c>
      <c r="G14" s="4" t="s">
        <v>85</v>
      </c>
      <c r="H14" s="4"/>
      <c r="I14" s="5" t="s">
        <v>19</v>
      </c>
      <c r="J14" s="4" t="s">
        <v>20</v>
      </c>
    </row>
    <row r="15" customFormat="false" ht="23.85" hidden="false" customHeight="false" outlineLevel="0" collapsed="false">
      <c r="A15" s="4" t="s">
        <v>86</v>
      </c>
      <c r="B15" s="4" t="s">
        <v>87</v>
      </c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  <c r="H15" s="4"/>
      <c r="I15" s="5" t="s">
        <v>19</v>
      </c>
      <c r="J15" s="4" t="s">
        <v>20</v>
      </c>
    </row>
    <row r="16" customFormat="false" ht="35.05" hidden="false" customHeight="false" outlineLevel="0" collapsed="false">
      <c r="A16" s="4" t="s">
        <v>93</v>
      </c>
      <c r="B16" s="4" t="s">
        <v>94</v>
      </c>
      <c r="C16" s="4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/>
      <c r="I16" s="5" t="s">
        <v>19</v>
      </c>
      <c r="J16" s="4" t="s">
        <v>100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6" t="s">
        <v>102</v>
      </c>
      <c r="B3" s="6" t="n">
        <f aca="false">COUNTA('UAT Test Cases'!A5:A16)</f>
        <v>12</v>
      </c>
    </row>
    <row r="4" customFormat="false" ht="15" hidden="false" customHeight="false" outlineLevel="0" collapsed="false">
      <c r="A4" s="6" t="s">
        <v>103</v>
      </c>
      <c r="B4" s="6" t="n">
        <f aca="false">COUNTIF('UAT Test Cases'!I5:I16,"Pass")</f>
        <v>12</v>
      </c>
    </row>
    <row r="5" customFormat="false" ht="15" hidden="false" customHeight="false" outlineLevel="0" collapsed="false">
      <c r="A5" s="6" t="s">
        <v>104</v>
      </c>
      <c r="B5" s="6" t="n">
        <f aca="false">COUNTIF('UAT Test Cases'!I5:I16,"Fail")</f>
        <v>0</v>
      </c>
    </row>
    <row r="6" customFormat="false" ht="15" hidden="false" customHeight="false" outlineLevel="0" collapsed="false">
      <c r="A6" s="6" t="s">
        <v>105</v>
      </c>
      <c r="B6" s="7" t="n">
        <f aca="false">IF(B3=0,"-",B4/B3)</f>
        <v>1</v>
      </c>
    </row>
    <row r="8" customFormat="false" ht="15" hidden="false" customHeight="false" outlineLevel="0" collapsed="false">
      <c r="A8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2026-07-05T12:22:48Z</dcterms:created>
  <dc:creator>openpyxl</dc:creator>
  <dc:description/>
  <dc:language>en-US</dc:language>
  <cp:lastModifiedBy/>
  <dcterms:modified xsi:type="dcterms:W3CDTF">2026-07-05T12:22:48Z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